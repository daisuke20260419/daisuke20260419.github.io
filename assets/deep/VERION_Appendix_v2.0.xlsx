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条件" sheetId="1" state="visible" r:id="rId1"/>
    <sheet xmlns:r="http://schemas.openxmlformats.org/officeDocument/2006/relationships" name="売上計画" sheetId="2" state="visible" r:id="rId2"/>
    <sheet xmlns:r="http://schemas.openxmlformats.org/officeDocument/2006/relationships" name="コストとPL" sheetId="3" state="visible" r:id="rId3"/>
    <sheet xmlns:r="http://schemas.openxmlformats.org/officeDocument/2006/relationships" name="セル画資産" sheetId="4" state="visible" r:id="rId4"/>
    <sheet xmlns:r="http://schemas.openxmlformats.org/officeDocument/2006/relationships" name="AI・GPU投資" sheetId="5" state="visible" r:id="rId5"/>
    <sheet xmlns:r="http://schemas.openxmlformats.org/officeDocument/2006/relationships" name="調達と資金使途" sheetId="6" state="visible" r:id="rId6"/>
    <sheet xmlns:r="http://schemas.openxmlformats.org/officeDocument/2006/relationships" name="感応度とBE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0.0%"/>
    <numFmt numFmtId="166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color rgb="0017171D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b val="1"/>
      <color rgb="0017171D"/>
      <sz val="9"/>
    </font>
    <font>
      <name val="Arial"/>
      <b val="1"/>
      <sz val="9"/>
    </font>
    <font>
      <name val="Arial"/>
      <b val="1"/>
      <color rgb="0017171D"/>
      <sz val="11"/>
    </font>
  </fonts>
  <fills count="7">
    <fill>
      <patternFill/>
    </fill>
    <fill>
      <patternFill patternType="gray125"/>
    </fill>
    <fill>
      <patternFill patternType="solid">
        <fgColor rgb="0017171D"/>
      </patternFill>
    </fill>
    <fill>
      <patternFill patternType="solid">
        <fgColor rgb="00C9A35C"/>
      </patternFill>
    </fill>
    <fill>
      <patternFill patternType="solid">
        <fgColor rgb="00FFFF00"/>
      </patternFill>
    </fill>
    <fill>
      <patternFill patternType="solid">
        <fgColor rgb="00F2F0EA"/>
      </patternFill>
    </fill>
    <fill>
      <patternFill patternType="solid">
        <fgColor rgb="00E8F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9" fontId="3" fillId="3" borderId="0" applyAlignment="1" pivotButton="0" quotePrefix="0" xfId="0">
      <alignment horizontal="center"/>
    </xf>
    <xf numFmtId="0" fontId="4" fillId="0" borderId="0" pivotButton="0" quotePrefix="0" xfId="0"/>
    <xf numFmtId="164" fontId="5" fillId="0" borderId="1" pivotButton="0" quotePrefix="0" xfId="0"/>
    <xf numFmtId="165" fontId="5" fillId="4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6" fontId="5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164" fontId="9" fillId="5" borderId="1" pivotButton="0" quotePrefix="0" xfId="0"/>
    <xf numFmtId="0" fontId="4" fillId="4" borderId="0" pivotButton="0" quotePrefix="0" xfId="0"/>
    <xf numFmtId="164" fontId="9" fillId="6" borderId="1" pivotButton="0" quotePrefix="0" xfId="0"/>
    <xf numFmtId="165" fontId="6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6" fontId="7" fillId="0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46" customWidth="1" min="9" max="9"/>
  </cols>
  <sheetData>
    <row r="1" ht="24" customHeight="1">
      <c r="A1" s="1" t="inlineStr">
        <is>
          <t>VERION 事業計画詳細 v2.0 ── 前提条件（Assumptions）</t>
        </is>
      </c>
    </row>
    <row r="2">
      <c r="A2" s="2" t="inlineStr">
        <is>
          <t>青字=入力（計画値）。すべて目標・計画・試算であり確約ではありません。2026-07 現行計画（調達ラダー v5.0 系）に整合。</t>
        </is>
      </c>
    </row>
    <row r="3"/>
    <row r="4">
      <c r="A4" s="3" t="inlineStr">
        <is>
          <t>項目</t>
        </is>
      </c>
      <c r="B4" s="3" t="inlineStr">
        <is>
          <t>単位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2029</t>
        </is>
      </c>
      <c r="F4" s="4" t="inlineStr">
        <is>
          <t>2030</t>
        </is>
      </c>
      <c r="G4" s="4" t="inlineStr">
        <is>
          <t>2031</t>
        </is>
      </c>
      <c r="H4" s="4" t="inlineStr">
        <is>
          <t>2032</t>
        </is>
      </c>
      <c r="I4" s="3" t="inlineStr">
        <is>
          <t>備考</t>
        </is>
      </c>
    </row>
    <row r="5">
      <c r="A5" s="5" t="inlineStr">
        <is>
          <t>MAU</t>
        </is>
      </c>
      <c r="B5" s="5" t="inlineStr">
        <is>
          <t>万人</t>
        </is>
      </c>
      <c r="C5" s="6" t="n">
        <v>10</v>
      </c>
      <c r="D5" s="6" t="n">
        <v>25</v>
      </c>
      <c r="E5" s="6" t="n">
        <v>50</v>
      </c>
      <c r="F5" s="6" t="n">
        <v>80</v>
      </c>
      <c r="G5" s="6" t="n">
        <v>150</v>
      </c>
      <c r="H5" s="6" t="n">
        <v>300</v>
      </c>
      <c r="I5" s="2" t="inlineStr">
        <is>
          <t>2027=A条件 MAU10万 / 2028=B条件 25万 / 2029=C条件 50万。以降は計画。北極星は10年でMAU1億</t>
        </is>
      </c>
    </row>
    <row r="6">
      <c r="A6" s="5" t="inlineStr">
        <is>
          <t>課金率</t>
        </is>
      </c>
      <c r="B6" s="5" t="inlineStr">
        <is>
          <t>%</t>
        </is>
      </c>
      <c r="C6" s="7" t="n">
        <v>0.02</v>
      </c>
      <c r="D6" s="8" t="n">
        <v>0.04</v>
      </c>
      <c r="E6" s="8" t="n">
        <v>0.06</v>
      </c>
      <c r="F6" s="8" t="n">
        <v>0.08</v>
      </c>
      <c r="G6" s="8" t="n">
        <v>0.1</v>
      </c>
      <c r="H6" s="8" t="n">
        <v>0.1</v>
      </c>
      <c r="I6" s="2" t="inlineStr">
        <is>
          <t>計画レンジ 2%→6%→10%（カード経済圏の完成に伴い上昇）</t>
        </is>
      </c>
    </row>
    <row r="7">
      <c r="A7" s="5" t="inlineStr">
        <is>
          <t>課金ユーザー</t>
        </is>
      </c>
      <c r="B7" s="5" t="inlineStr">
        <is>
          <t>万人</t>
        </is>
      </c>
      <c r="C7" s="9">
        <f>C5*C6</f>
        <v/>
      </c>
      <c r="D7" s="9">
        <f>D5*D6</f>
        <v/>
      </c>
      <c r="E7" s="9">
        <f>E5*E6</f>
        <v/>
      </c>
      <c r="F7" s="9">
        <f>F5*F6</f>
        <v/>
      </c>
      <c r="G7" s="9">
        <f>G5*G6</f>
        <v/>
      </c>
      <c r="H7" s="9">
        <f>H5*H6</f>
        <v/>
      </c>
      <c r="I7" s="2">
        <f>MAU×課金率</f>
        <v/>
      </c>
    </row>
    <row r="8">
      <c r="A8" s="5" t="inlineStr">
        <is>
          <t>カード単価</t>
        </is>
      </c>
      <c r="B8" s="5" t="inlineStr">
        <is>
          <t>円</t>
        </is>
      </c>
      <c r="C8" s="10" t="n">
        <v>3000</v>
      </c>
      <c r="D8" s="10" t="n">
        <v>3000</v>
      </c>
      <c r="E8" s="10" t="n">
        <v>3000</v>
      </c>
      <c r="F8" s="10" t="n">
        <v>3000</v>
      </c>
      <c r="G8" s="10" t="n">
        <v>3000</v>
      </c>
      <c r="H8" s="10" t="n">
        <v>3000</v>
      </c>
      <c r="I8" s="2" t="inlineStr">
        <is>
          <t>約20USD/枚（ガチャ1回・9分割ピース1枚）</t>
        </is>
      </c>
    </row>
    <row r="9">
      <c r="A9" s="5" t="inlineStr">
        <is>
          <t>月間購入枚数</t>
        </is>
      </c>
      <c r="B9" s="5" t="inlineStr">
        <is>
          <t>枚/人</t>
        </is>
      </c>
      <c r="C9" s="6" t="n">
        <v>2</v>
      </c>
      <c r="D9" s="6" t="n">
        <v>2.2</v>
      </c>
      <c r="E9" s="6" t="n">
        <v>2.4</v>
      </c>
      <c r="F9" s="6" t="n">
        <v>2.6</v>
      </c>
      <c r="G9" s="6" t="n">
        <v>2.8</v>
      </c>
      <c r="H9" s="6" t="n">
        <v>2.8</v>
      </c>
      <c r="I9" s="2" t="inlineStr">
        <is>
          <t>課金ユーザー1人あたり。サイト試算の2.8枚に漸近</t>
        </is>
      </c>
    </row>
    <row r="10">
      <c r="A10" s="5" t="inlineStr">
        <is>
          <t>スポンサー社数</t>
        </is>
      </c>
      <c r="B10" s="5" t="inlineStr">
        <is>
          <t>社</t>
        </is>
      </c>
      <c r="C10" s="10" t="n">
        <v>0</v>
      </c>
      <c r="D10" s="10" t="n">
        <v>10</v>
      </c>
      <c r="E10" s="10" t="n">
        <v>20</v>
      </c>
      <c r="F10" s="10" t="n">
        <v>40</v>
      </c>
      <c r="G10" s="10" t="n">
        <v>70</v>
      </c>
      <c r="H10" s="10" t="n">
        <v>100</v>
      </c>
      <c r="I10" s="2" t="inlineStr">
        <is>
          <t>広告クイズ・大会協賛。賞金原資は別建て（P&amp;L外）</t>
        </is>
      </c>
    </row>
    <row r="11">
      <c r="A11" s="5" t="inlineStr">
        <is>
          <t>スポンサー平均単価</t>
        </is>
      </c>
      <c r="B11" s="5" t="inlineStr">
        <is>
          <t>万円/年</t>
        </is>
      </c>
      <c r="C11" s="10" t="n">
        <v>1500</v>
      </c>
      <c r="D11" s="10" t="n">
        <v>1500</v>
      </c>
      <c r="E11" s="10" t="n">
        <v>1500</v>
      </c>
      <c r="F11" s="10" t="n">
        <v>1500</v>
      </c>
      <c r="G11" s="10" t="n">
        <v>1500</v>
      </c>
      <c r="H11" s="10" t="n">
        <v>1500</v>
      </c>
      <c r="I11" s="2" t="inlineStr">
        <is>
          <t>約10万USD/年・社</t>
        </is>
      </c>
    </row>
    <row r="12">
      <c r="A12" s="5" t="inlineStr">
        <is>
          <t>広告・データARPU</t>
        </is>
      </c>
      <c r="B12" s="5" t="inlineStr">
        <is>
          <t>円/MAU/年</t>
        </is>
      </c>
      <c r="C12" s="10" t="n">
        <v>0</v>
      </c>
      <c r="D12" s="10" t="n">
        <v>200</v>
      </c>
      <c r="E12" s="10" t="n">
        <v>600</v>
      </c>
      <c r="F12" s="10" t="n">
        <v>1200</v>
      </c>
      <c r="G12" s="10" t="n">
        <v>2000</v>
      </c>
      <c r="H12" s="10" t="n">
        <v>2600</v>
      </c>
      <c r="I12" s="2" t="inlineStr">
        <is>
          <t>リワード広告+IPデータライセンス+ターゲティング（Phase3で主役化）</t>
        </is>
      </c>
    </row>
    <row r="13">
      <c r="A13" s="5" t="inlineStr">
        <is>
          <t>SC決済関連収益</t>
        </is>
      </c>
      <c r="B13" s="5" t="inlineStr">
        <is>
          <t>億円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5</v>
      </c>
      <c r="H13" s="6" t="n">
        <v>15</v>
      </c>
      <c r="I13" s="2" t="inlineStr">
        <is>
          <t>上場後構想（フロート・決済マージン等）。金融免許取得を前提とする構想値</t>
        </is>
      </c>
    </row>
    <row r="14">
      <c r="A14" s="5" t="inlineStr">
        <is>
          <t>USD/JPY</t>
        </is>
      </c>
      <c r="B14" s="5" t="inlineStr">
        <is>
          <t>円</t>
        </is>
      </c>
      <c r="C14" s="10" t="n">
        <v>160</v>
      </c>
      <c r="D14" s="10" t="n">
        <v>160</v>
      </c>
      <c r="E14" s="10" t="n">
        <v>160</v>
      </c>
      <c r="F14" s="10" t="n">
        <v>160</v>
      </c>
      <c r="G14" s="10" t="n">
        <v>160</v>
      </c>
      <c r="H14" s="10" t="n">
        <v>160</v>
      </c>
      <c r="I14" s="2" t="inlineStr">
        <is>
          <t>換算レート（前提）</t>
        </is>
      </c>
    </row>
    <row r="15"/>
    <row r="16">
      <c r="A16" s="2" t="inlineStr">
        <is>
          <t>※ 賞金はスポンサー協賛金のみを原資とし、本P&amp;Lの収益にも費用にも含めない（入口/出口分離の設計）。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46" customWidth="1" min="9" max="9"/>
  </cols>
  <sheetData>
    <row r="1" ht="24" customHeight="1">
      <c r="A1" s="1" t="inlineStr">
        <is>
          <t>売上計画（Revenue Build-up）</t>
        </is>
      </c>
    </row>
    <row r="2">
      <c r="A2" s="2" t="inlineStr">
        <is>
          <t>緑字=前提条件シート参照。単位: 億円。3.6 = 10,000人×3,000円×12ヶ月÷1億（万人→億円換算係数）</t>
        </is>
      </c>
    </row>
    <row r="4">
      <c r="A4" s="3" t="inlineStr">
        <is>
          <t>項目</t>
        </is>
      </c>
      <c r="B4" s="3" t="inlineStr">
        <is>
          <t>単位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2029</t>
        </is>
      </c>
      <c r="F4" s="4" t="inlineStr">
        <is>
          <t>2030</t>
        </is>
      </c>
      <c r="G4" s="4" t="inlineStr">
        <is>
          <t>2031</t>
        </is>
      </c>
      <c r="H4" s="4" t="inlineStr">
        <is>
          <t>2032</t>
        </is>
      </c>
      <c r="I4" s="3" t="inlineStr">
        <is>
          <t>備考</t>
        </is>
      </c>
    </row>
    <row r="5">
      <c r="A5" s="5" t="inlineStr">
        <is>
          <t>カード売上（ガチャ）</t>
        </is>
      </c>
      <c r="B5" t="inlineStr">
        <is>
          <t>億円</t>
        </is>
      </c>
      <c r="C5" s="11">
        <f>前提条件!C5*前提条件!C6*前提条件!C9*3.6</f>
        <v/>
      </c>
      <c r="D5" s="11">
        <f>前提条件!D5*前提条件!D6*前提条件!D9*3.6</f>
        <v/>
      </c>
      <c r="E5" s="11">
        <f>前提条件!E5*前提条件!E6*前提条件!E9*3.6</f>
        <v/>
      </c>
      <c r="F5" s="11">
        <f>前提条件!F5*前提条件!F6*前提条件!F9*3.6</f>
        <v/>
      </c>
      <c r="G5" s="11">
        <f>前提条件!G5*前提条件!G6*前提条件!G9*3.6</f>
        <v/>
      </c>
      <c r="H5" s="11">
        <f>前提条件!H5*前提条件!H6*前提条件!H9*3.6</f>
        <v/>
      </c>
      <c r="I5" s="2">
        <f>MAU×課金率×枚数×3,000円×12。売上の背骨（Phase1）</f>
        <v/>
      </c>
    </row>
    <row r="6">
      <c r="A6" s="5" t="inlineStr">
        <is>
          <t>スポンサー収入</t>
        </is>
      </c>
      <c r="B6" t="inlineStr">
        <is>
          <t>億円</t>
        </is>
      </c>
      <c r="C6" s="11">
        <f>前提条件!C10*前提条件!C11/10000</f>
        <v/>
      </c>
      <c r="D6" s="11">
        <f>前提条件!D10*前提条件!D11/10000</f>
        <v/>
      </c>
      <c r="E6" s="11">
        <f>前提条件!E10*前提条件!E11/10000</f>
        <v/>
      </c>
      <c r="F6" s="11">
        <f>前提条件!F10*前提条件!F11/10000</f>
        <v/>
      </c>
      <c r="G6" s="11">
        <f>前提条件!G10*前提条件!G11/10000</f>
        <v/>
      </c>
      <c r="H6" s="11">
        <f>前提条件!H10*前提条件!H11/10000</f>
        <v/>
      </c>
      <c r="I6" s="2">
        <f>社数×平均単価（Phase2）</f>
        <v/>
      </c>
    </row>
    <row r="7">
      <c r="A7" s="5" t="inlineStr">
        <is>
          <t>広告・データ収益</t>
        </is>
      </c>
      <c r="B7" t="inlineStr">
        <is>
          <t>億円</t>
        </is>
      </c>
      <c r="C7" s="11">
        <f>前提条件!C5*前提条件!C12/10000</f>
        <v/>
      </c>
      <c r="D7" s="11">
        <f>前提条件!D5*前提条件!D12/10000</f>
        <v/>
      </c>
      <c r="E7" s="11">
        <f>前提条件!E5*前提条件!E12/10000</f>
        <v/>
      </c>
      <c r="F7" s="11">
        <f>前提条件!F5*前提条件!F12/10000</f>
        <v/>
      </c>
      <c r="G7" s="11">
        <f>前提条件!G5*前提条件!G12/10000</f>
        <v/>
      </c>
      <c r="H7" s="11">
        <f>前提条件!H5*前提条件!H12/10000</f>
        <v/>
      </c>
      <c r="I7" s="2">
        <f>MAU×広告データARPU（Phase2→3）</f>
        <v/>
      </c>
    </row>
    <row r="8">
      <c r="A8" s="5" t="inlineStr">
        <is>
          <t>SC決済関連（構想）</t>
        </is>
      </c>
      <c r="B8" t="inlineStr">
        <is>
          <t>億円</t>
        </is>
      </c>
      <c r="C8" s="11">
        <f>前提条件!C13</f>
        <v/>
      </c>
      <c r="D8" s="11">
        <f>前提条件!D13</f>
        <v/>
      </c>
      <c r="E8" s="11">
        <f>前提条件!E13</f>
        <v/>
      </c>
      <c r="F8" s="11">
        <f>前提条件!F13</f>
        <v/>
      </c>
      <c r="G8" s="11">
        <f>前提条件!G13</f>
        <v/>
      </c>
      <c r="H8" s="11">
        <f>前提条件!H13</f>
        <v/>
      </c>
      <c r="I8" s="2" t="inlineStr">
        <is>
          <t>上場後・金融免許取得後の構想値（Phase4）</t>
        </is>
      </c>
    </row>
    <row r="9">
      <c r="A9" s="12" t="inlineStr">
        <is>
          <t>年商合計</t>
        </is>
      </c>
      <c r="B9" t="inlineStr">
        <is>
          <t>億円</t>
        </is>
      </c>
      <c r="C9" s="13">
        <f>SUM(C5:C8)</f>
        <v/>
      </c>
      <c r="D9" s="13">
        <f>SUM(D5:D8)</f>
        <v/>
      </c>
      <c r="E9" s="13">
        <f>SUM(E5:E8)</f>
        <v/>
      </c>
      <c r="F9" s="13">
        <f>SUM(F5:F8)</f>
        <v/>
      </c>
      <c r="G9" s="13">
        <f>SUM(G5:G8)</f>
        <v/>
      </c>
      <c r="H9" s="13">
        <f>SUM(H5:H8)</f>
        <v/>
      </c>
    </row>
    <row r="11">
      <c r="A11" s="2" t="inlineStr">
        <is>
          <t>整合メモ: 2031（IPO年）の年商は約200億円 ── サイト記載「IPO時 時価総額1,000億シナリオ＝年商100〜200億の水準」と整合。</t>
        </is>
      </c>
    </row>
    <row r="12">
      <c r="A12" s="2" t="inlineStr">
        <is>
          <t>整合メモ: 北極星（時価総額1兆円）の前提年商1,000〜2,000億は、課金100〜200万人（MAU 1,000万〜2,000万×10%）で到達する将来目盛。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46" customWidth="1" min="9" max="9"/>
  </cols>
  <sheetData>
    <row r="1" ht="24" customHeight="1">
      <c r="A1" s="1" t="inlineStr">
        <is>
          <t>コスト構造と年次P&amp;L</t>
        </is>
      </c>
    </row>
    <row r="2">
      <c r="A2" s="2" t="inlineStr">
        <is>
          <t>青字=入力（計画値）。単位: 億円。少数精鋭×AI内製が費用構造の前提。賞金はスポンサー原資のため費用に含まない。</t>
        </is>
      </c>
    </row>
    <row r="4">
      <c r="A4" s="3" t="inlineStr">
        <is>
          <t>項目</t>
        </is>
      </c>
      <c r="B4" s="3" t="inlineStr">
        <is>
          <t>単位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2029</t>
        </is>
      </c>
      <c r="F4" s="4" t="inlineStr">
        <is>
          <t>2030</t>
        </is>
      </c>
      <c r="G4" s="4" t="inlineStr">
        <is>
          <t>2031</t>
        </is>
      </c>
      <c r="H4" s="4" t="inlineStr">
        <is>
          <t>2032</t>
        </is>
      </c>
      <c r="I4" s="3" t="inlineStr">
        <is>
          <t>備考</t>
        </is>
      </c>
    </row>
    <row r="5">
      <c r="A5" s="5" t="inlineStr">
        <is>
          <t>人員数</t>
        </is>
      </c>
      <c r="B5" s="5" t="inlineStr">
        <is>
          <t>人</t>
        </is>
      </c>
      <c r="C5" s="10" t="n">
        <v>12</v>
      </c>
      <c r="D5" s="10" t="n">
        <v>18</v>
      </c>
      <c r="E5" s="10" t="n">
        <v>25</v>
      </c>
      <c r="F5" s="10" t="n">
        <v>35</v>
      </c>
      <c r="G5" s="10" t="n">
        <v>50</v>
      </c>
      <c r="H5" s="10" t="n">
        <v>70</v>
      </c>
      <c r="I5" s="2" t="inlineStr">
        <is>
          <t>少数精鋭 ── 制作・運営・多言語化をAIが担う</t>
        </is>
      </c>
    </row>
    <row r="6">
      <c r="A6" s="5" t="inlineStr">
        <is>
          <t>人件費</t>
        </is>
      </c>
      <c r="B6" s="5" t="inlineStr">
        <is>
          <t>億円</t>
        </is>
      </c>
      <c r="C6" s="9">
        <f>C5*0.12</f>
        <v/>
      </c>
      <c r="D6" s="9">
        <f>D5*0.12</f>
        <v/>
      </c>
      <c r="E6" s="9">
        <f>E5*0.12</f>
        <v/>
      </c>
      <c r="F6" s="9">
        <f>F5*0.12</f>
        <v/>
      </c>
      <c r="G6" s="9">
        <f>G5*0.12</f>
        <v/>
      </c>
      <c r="H6" s="9">
        <f>H5*0.12</f>
        <v/>
      </c>
      <c r="I6" s="2">
        <f>人員×平均年収1,200万円（0.12億）</f>
        <v/>
      </c>
    </row>
    <row r="7">
      <c r="A7" s="5" t="inlineStr">
        <is>
          <t>サーバー・インフラ</t>
        </is>
      </c>
      <c r="B7" s="5" t="inlineStr">
        <is>
          <t>億円</t>
        </is>
      </c>
      <c r="C7" s="6" t="n">
        <v>0.5</v>
      </c>
      <c r="D7" s="6" t="n">
        <v>0.9</v>
      </c>
      <c r="E7" s="6" t="n">
        <v>1.5</v>
      </c>
      <c r="F7" s="6" t="n">
        <v>2.5</v>
      </c>
      <c r="G7" s="6" t="n">
        <v>4.5</v>
      </c>
      <c r="H7" s="6" t="n">
        <v>8</v>
      </c>
    </row>
    <row r="8">
      <c r="A8" s="14" t="inlineStr">
        <is>
          <t>GPU・独自AI投資</t>
        </is>
      </c>
      <c r="B8" s="5" t="inlineStr">
        <is>
          <t>億円</t>
        </is>
      </c>
      <c r="C8" s="6" t="n">
        <v>0.8</v>
      </c>
      <c r="D8" s="6" t="n">
        <v>1.5</v>
      </c>
      <c r="E8" s="6" t="n">
        <v>2</v>
      </c>
      <c r="F8" s="6" t="n">
        <v>2.5</v>
      </c>
      <c r="G8" s="6" t="n">
        <v>3</v>
      </c>
      <c r="H8" s="6" t="n">
        <v>4</v>
      </c>
      <c r="I8" s="2" t="inlineStr">
        <is>
          <t>数千万〜億円単位（owner方針）。クイズ生成・演出DB・アニメ生成の生産設備</t>
        </is>
      </c>
    </row>
    <row r="9">
      <c r="A9" s="5" t="inlineStr">
        <is>
          <t>IPロイヤリティ</t>
        </is>
      </c>
      <c r="B9" s="5" t="inlineStr">
        <is>
          <t>億円</t>
        </is>
      </c>
      <c r="C9" s="11">
        <f>売上計画!C5*0.08</f>
        <v/>
      </c>
      <c r="D9" s="11">
        <f>売上計画!D5*0.08</f>
        <v/>
      </c>
      <c r="E9" s="11">
        <f>売上計画!E5*0.08</f>
        <v/>
      </c>
      <c r="F9" s="11">
        <f>売上計画!F5*0.08</f>
        <v/>
      </c>
      <c r="G9" s="11">
        <f>売上計画!G5*0.08</f>
        <v/>
      </c>
      <c r="H9" s="11">
        <f>売上計画!H5*0.08</f>
        <v/>
      </c>
      <c r="I9" s="2">
        <f>カード売上×8%（独占ライセンスの前払い一括は資産計上・別掲）</f>
        <v/>
      </c>
    </row>
    <row r="10">
      <c r="A10" s="5" t="inlineStr">
        <is>
          <t>マーケティング・UA</t>
        </is>
      </c>
      <c r="B10" s="5" t="inlineStr">
        <is>
          <t>億円</t>
        </is>
      </c>
      <c r="C10" s="6" t="n">
        <v>1</v>
      </c>
      <c r="D10" s="6" t="n">
        <v>2</v>
      </c>
      <c r="E10" s="6" t="n">
        <v>6</v>
      </c>
      <c r="F10" s="6" t="n">
        <v>12</v>
      </c>
      <c r="G10" s="6" t="n">
        <v>30</v>
      </c>
      <c r="H10" s="6" t="n">
        <v>60</v>
      </c>
      <c r="I10" s="2" t="inlineStr">
        <is>
          <t>景品マーケが主・広告費は従（現物資産が集客する設計）</t>
        </is>
      </c>
    </row>
    <row r="11">
      <c r="A11" s="5" t="inlineStr">
        <is>
          <t>法務・監査</t>
        </is>
      </c>
      <c r="B11" s="5" t="inlineStr">
        <is>
          <t>億円</t>
        </is>
      </c>
      <c r="C11" s="6" t="n">
        <v>0.5</v>
      </c>
      <c r="D11" s="6" t="n">
        <v>0.7</v>
      </c>
      <c r="E11" s="6" t="n">
        <v>0.9</v>
      </c>
      <c r="F11" s="6" t="n">
        <v>1.2</v>
      </c>
      <c r="G11" s="6" t="n">
        <v>1.5</v>
      </c>
      <c r="H11" s="6" t="n">
        <v>2</v>
      </c>
      <c r="I11" s="2" t="inlineStr">
        <is>
          <t>意見書4本・2027監査法人選任・上場準備</t>
        </is>
      </c>
    </row>
    <row r="12">
      <c r="A12" s="5" t="inlineStr">
        <is>
          <t>オフィス・管理</t>
        </is>
      </c>
      <c r="B12" s="5" t="inlineStr">
        <is>
          <t>億円</t>
        </is>
      </c>
      <c r="C12" s="6" t="n">
        <v>0.3</v>
      </c>
      <c r="D12" s="6" t="n">
        <v>0.5</v>
      </c>
      <c r="E12" s="6" t="n">
        <v>0.8</v>
      </c>
      <c r="F12" s="6" t="n">
        <v>1.2</v>
      </c>
      <c r="G12" s="6" t="n">
        <v>1.8</v>
      </c>
      <c r="H12" s="6" t="n">
        <v>2.5</v>
      </c>
    </row>
    <row r="13">
      <c r="A13" s="12" t="inlineStr">
        <is>
          <t>費用合計</t>
        </is>
      </c>
      <c r="B13" t="inlineStr">
        <is>
          <t>億円</t>
        </is>
      </c>
      <c r="C13" s="9">
        <f>SUM(C6:C12)</f>
        <v/>
      </c>
      <c r="D13" s="9">
        <f>SUM(D6:D12)</f>
        <v/>
      </c>
      <c r="E13" s="9">
        <f>SUM(E6:E12)</f>
        <v/>
      </c>
      <c r="F13" s="9">
        <f>SUM(F6:F12)</f>
        <v/>
      </c>
      <c r="G13" s="9">
        <f>SUM(G6:G12)</f>
        <v/>
      </c>
      <c r="H13" s="9">
        <f>SUM(H6:H12)</f>
        <v/>
      </c>
    </row>
    <row r="14">
      <c r="A14" s="12" t="inlineStr">
        <is>
          <t>営業損益</t>
        </is>
      </c>
      <c r="B14" t="inlineStr">
        <is>
          <t>億円</t>
        </is>
      </c>
      <c r="C14" s="15">
        <f>売上計画!C9-C13</f>
        <v/>
      </c>
      <c r="D14" s="15">
        <f>売上計画!D9-D13</f>
        <v/>
      </c>
      <c r="E14" s="15">
        <f>売上計画!E9-E13</f>
        <v/>
      </c>
      <c r="F14" s="15">
        <f>売上計画!F9-F13</f>
        <v/>
      </c>
      <c r="G14" s="15">
        <f>売上計画!G9-G13</f>
        <v/>
      </c>
      <c r="H14" s="15">
        <f>売上計画!H9-H13</f>
        <v/>
      </c>
      <c r="I14" s="2" t="inlineStr">
        <is>
          <t>2028年中の単年黒字化（シリーズB実行条件）と整合</t>
        </is>
      </c>
    </row>
    <row r="15">
      <c r="A15" t="inlineStr">
        <is>
          <t>営業利益率</t>
        </is>
      </c>
      <c r="B15" t="inlineStr">
        <is>
          <t>%</t>
        </is>
      </c>
      <c r="C15" s="16">
        <f>IF(売上計画!C9=0,0,C14/売上計画!C9)</f>
        <v/>
      </c>
      <c r="D15" s="16">
        <f>IF(売上計画!D9=0,0,D14/売上計画!D9)</f>
        <v/>
      </c>
      <c r="E15" s="16">
        <f>IF(売上計画!E9=0,0,E14/売上計画!E9)</f>
        <v/>
      </c>
      <c r="F15" s="16">
        <f>IF(売上計画!F9=0,0,F14/売上計画!F9)</f>
        <v/>
      </c>
      <c r="G15" s="16">
        <f>IF(売上計画!G9=0,0,G14/売上計画!G9)</f>
        <v/>
      </c>
      <c r="H15" s="16">
        <f>IF(売上計画!H9=0,0,H14/売上計画!H9)</f>
        <v/>
      </c>
    </row>
    <row r="17">
      <c r="A17" s="2" t="inlineStr">
        <is>
          <t>※ 2027は営業赤字（シード5億+シリーズA20億が先行投資を支える）。2028に黒字転換 ── Bゲート「単年黒字化(2028年中)」の裏付け。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66" customWidth="1" min="5" max="5"/>
  </cols>
  <sheetData>
    <row r="1" ht="24" customHeight="1">
      <c r="A1" s="1" t="inlineStr">
        <is>
          <t>セル画・原画 資産計画（新設セクション）</t>
        </is>
      </c>
    </row>
    <row r="2">
      <c r="A2" s="2" t="inlineStr">
        <is>
          <t>旧版に無い現物資産の計画。取得資金は匿名組合スキームで本体調達と分離（資金の分離）。B/S計上は取得原価・鑑定評価は参考併記。</t>
        </is>
      </c>
    </row>
    <row r="4">
      <c r="A4" s="3" t="inlineStr">
        <is>
          <t>時点</t>
        </is>
      </c>
      <c r="B4" s="3" t="inlineStr">
        <is>
          <t>保有枚数</t>
        </is>
      </c>
      <c r="C4" s="3" t="inlineStr">
        <is>
          <t>取得原価(億円)</t>
        </is>
      </c>
      <c r="D4" s="3" t="inlineStr">
        <is>
          <t>鑑定評価(億円)</t>
        </is>
      </c>
      <c r="E4" s="3" t="inlineStr">
        <is>
          <t>位置づけ</t>
        </is>
      </c>
    </row>
    <row r="5">
      <c r="A5" s="17" t="inlineStr">
        <is>
          <t>2026-07 現在</t>
        </is>
      </c>
      <c r="B5" s="10" t="n">
        <v>1454</v>
      </c>
      <c r="C5" s="6" t="n">
        <v>6</v>
      </c>
      <c r="D5" s="6" t="n">
        <v>6</v>
      </c>
      <c r="E5" s="18" t="inlineStr">
        <is>
          <t>実在の証明済み（全点鑑定書付き・まんだらけ等の真贋認定）</t>
        </is>
      </c>
    </row>
    <row r="6">
      <c r="A6" s="17" t="inlineStr">
        <is>
          <t>2027（シード期末）</t>
        </is>
      </c>
      <c r="B6" s="10" t="n">
        <v>4000</v>
      </c>
      <c r="C6" s="19" t="n"/>
      <c r="D6" s="6" t="n">
        <v>12</v>
      </c>
      <c r="E6" s="18" t="inlineStr">
        <is>
          <t>シード期計画 ── 景品運用の開始</t>
        </is>
      </c>
    </row>
    <row r="7">
      <c r="A7" s="17" t="inlineStr">
        <is>
          <t>2028（シリーズB条件）</t>
        </is>
      </c>
      <c r="B7" s="10" t="n">
        <v>20000</v>
      </c>
      <c r="C7" s="19" t="n"/>
      <c r="D7" s="6" t="n">
        <v>50</v>
      </c>
      <c r="E7" s="18" t="inlineStr">
        <is>
          <t>Bゲート「セル画連結 約50億円（監査済み評価）」に対応</t>
        </is>
      </c>
    </row>
    <row r="8">
      <c r="A8" s="17" t="inlineStr">
        <is>
          <t>2029（買付完了）</t>
        </is>
      </c>
      <c r="B8" s="19" t="n"/>
      <c r="C8" s="19" t="n"/>
      <c r="D8" s="19" t="n"/>
      <c r="E8" s="18" t="inlineStr">
        <is>
          <t>独占買付の完了 ── 市場在庫を「買えないもの」に</t>
        </is>
      </c>
    </row>
    <row r="9">
      <c r="A9" s="17" t="inlineStr">
        <is>
          <t>到達計画</t>
        </is>
      </c>
      <c r="B9" s="10" t="n">
        <v>200000</v>
      </c>
      <c r="C9" s="19" t="n"/>
      <c r="D9" s="19" t="n"/>
      <c r="E9" s="18" t="inlineStr">
        <is>
          <t>20万枚 ── 達成すれば世界一の保有企業（計画）</t>
        </is>
      </c>
    </row>
    <row r="11">
      <c r="A11" s="2" t="inlineStr">
        <is>
          <t>収益化6本: 展示イベント/投資家招待/関係者限定販売/レンタル/PF景品/カストディフィー ── 原則「買う。止める。売らない（売るのは所有権=NFT構想）」</t>
        </is>
      </c>
    </row>
    <row r="12">
      <c r="A12" s="2" t="inlineStr">
        <is>
          <t>保管: 寺田倉庫と協業検討中（保税・温湿度管理・24h監視・スラブ封入）。鑑定評価12億(2027)は取得ペースからの試算値。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46" customWidth="1" min="9" max="9"/>
  </cols>
  <sheetData>
    <row r="1" ht="24" customHeight="1">
      <c r="A1" s="1" t="inlineStr">
        <is>
          <t>AI・GPU 投資計画（新設セクション）</t>
        </is>
      </c>
    </row>
    <row r="2">
      <c r="A2" s="2" t="inlineStr">
        <is>
          <t>旧版に無いAI戦略。人を増やす代わりに計算資源へ投資 ── 少数精鋭経営の裏付け。金額はコストとPLシートのGPU行に整合。</t>
        </is>
      </c>
    </row>
    <row r="4">
      <c r="A4" s="3" t="inlineStr">
        <is>
          <t>項目</t>
        </is>
      </c>
      <c r="B4" s="3" t="inlineStr">
        <is>
          <t>単位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2029</t>
        </is>
      </c>
      <c r="F4" s="4" t="inlineStr">
        <is>
          <t>2030</t>
        </is>
      </c>
      <c r="G4" s="4" t="inlineStr">
        <is>
          <t>2031</t>
        </is>
      </c>
      <c r="H4" s="4" t="inlineStr">
        <is>
          <t>2032</t>
        </is>
      </c>
      <c r="I4" s="3" t="inlineStr">
        <is>
          <t>備考</t>
        </is>
      </c>
    </row>
    <row r="5">
      <c r="A5" s="5" t="inlineStr">
        <is>
          <t>GPU・独自AI投資</t>
        </is>
      </c>
      <c r="B5" s="5" t="inlineStr">
        <is>
          <t>億円</t>
        </is>
      </c>
      <c r="C5" s="11">
        <f>コストとPL!C8</f>
        <v/>
      </c>
      <c r="D5" s="11">
        <f>コストとPL!D8</f>
        <v/>
      </c>
      <c r="E5" s="11">
        <f>コストとPL!E8</f>
        <v/>
      </c>
      <c r="F5" s="11">
        <f>コストとPL!F8</f>
        <v/>
      </c>
      <c r="G5" s="11">
        <f>コストとPL!G8</f>
        <v/>
      </c>
      <c r="H5" s="11">
        <f>コストとPL!H8</f>
        <v/>
      </c>
      <c r="I5" s="2" t="inlineStr">
        <is>
          <t>数千万〜億円単位（owner方針）</t>
        </is>
      </c>
    </row>
    <row r="6">
      <c r="A6" s="5" t="inlineStr">
        <is>
          <t>人員数（参考）</t>
        </is>
      </c>
      <c r="B6" s="5" t="inlineStr">
        <is>
          <t>人</t>
        </is>
      </c>
      <c r="C6" s="20">
        <f>コストとPL!C5</f>
        <v/>
      </c>
      <c r="D6" s="20">
        <f>コストとPL!D5</f>
        <v/>
      </c>
      <c r="E6" s="20">
        <f>コストとPL!E5</f>
        <v/>
      </c>
      <c r="F6" s="20">
        <f>コストとPL!F5</f>
        <v/>
      </c>
      <c r="G6" s="20">
        <f>コストとPL!G5</f>
        <v/>
      </c>
      <c r="H6" s="20">
        <f>コストとPL!H5</f>
        <v/>
      </c>
      <c r="I6" s="2" t="inlineStr">
        <is>
          <t>AIが制作・運営を担うため低水準を維持</t>
        </is>
      </c>
    </row>
    <row r="7">
      <c r="A7" s="12" t="inlineStr">
        <is>
          <t>1人あたり年商</t>
        </is>
      </c>
      <c r="B7" t="inlineStr">
        <is>
          <t>億円/人</t>
        </is>
      </c>
      <c r="C7" s="11">
        <f>IF(C6=0,0,売上計画!C9/C6)</f>
        <v/>
      </c>
      <c r="D7" s="11">
        <f>IF(D6=0,0,売上計画!D9/D6)</f>
        <v/>
      </c>
      <c r="E7" s="11">
        <f>IF(E6=0,0,売上計画!E9/E6)</f>
        <v/>
      </c>
      <c r="F7" s="11">
        <f>IF(F6=0,0,売上計画!F9/F6)</f>
        <v/>
      </c>
      <c r="G7" s="11">
        <f>IF(G6=0,0,売上計画!G9/G6)</f>
        <v/>
      </c>
      <c r="H7" s="11">
        <f>IF(H6=0,0,売上計画!H9/H6)</f>
        <v/>
      </c>
      <c r="I7" s="2" t="inlineStr">
        <is>
          <t>少数精鋭×AI内製の効率指標（2032≈5.9億円/人）</t>
        </is>
      </c>
    </row>
    <row r="9">
      <c r="A9" s="2" t="inlineStr">
        <is>
          <t>投資の狙い① 自由な独自AI ── 外部APIの制約・料金・検閲に縛られないモデルを保有（基盤モデルの進歩で資金投下により到達可能と認識）</t>
        </is>
      </c>
    </row>
    <row r="10">
      <c r="A10" s="2" t="inlineStr">
        <is>
          <t>投資の狙い② クイズ自動生成 ── 全IP・全話数・多言語を24時間供給（コンテンツ原価の構造的低減）</t>
        </is>
      </c>
    </row>
    <row r="11">
      <c r="A11" s="2" t="inlineStr">
        <is>
          <t>投資の狙い③ 演出の人気DB ── ユーザーの遊びから「どのシーン・どの演出がウケるか」を蓄積。遊び場の運営者だけが持てる独占データ</t>
        </is>
      </c>
    </row>
    <row r="12">
      <c r="A12" s="2" t="inlineStr">
        <is>
          <t>投資の狙い④ AIアニメ生成 ── 常に生まれ続けるインディーズ・旧作漫画（日本企業が獲得に構造優位）を、DBを参照して理論的にアニメ化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34" customWidth="1" min="4" max="4"/>
    <col width="40" customWidth="1" min="5" max="5"/>
    <col width="52" customWidth="1" min="6" max="6"/>
  </cols>
  <sheetData>
    <row r="1" ht="24" customHeight="1">
      <c r="A1" s="1" t="inlineStr">
        <is>
          <t>調達ラダーと Use of Funds</t>
        </is>
      </c>
    </row>
    <row r="2">
      <c r="A2" s="2" t="inlineStr">
        <is>
          <t>現行計画（転換型シード・ゲート連動）。旧版の「シード30億・総調達2億USD」は旧設計のため全面改訂。</t>
        </is>
      </c>
    </row>
    <row r="4">
      <c r="A4" s="3" t="inlineStr">
        <is>
          <t>ラウンド</t>
        </is>
      </c>
      <c r="B4" s="3" t="inlineStr">
        <is>
          <t>時期</t>
        </is>
      </c>
      <c r="C4" s="3" t="inlineStr">
        <is>
          <t>調達額(億円)</t>
        </is>
      </c>
      <c r="D4" s="3" t="inlineStr">
        <is>
          <t>条件</t>
        </is>
      </c>
      <c r="E4" s="3" t="inlineStr">
        <is>
          <t>主な使途</t>
        </is>
      </c>
      <c r="F4" s="3" t="inlineStr">
        <is>
          <t>実行条件（ゲート）</t>
        </is>
      </c>
    </row>
    <row r="5">
      <c r="A5" s="17" t="inlineStr">
        <is>
          <t>シード</t>
        </is>
      </c>
      <c r="B5" s="17" t="inlineStr">
        <is>
          <t>2026 H2</t>
        </is>
      </c>
      <c r="C5" s="10" t="n">
        <v>5</v>
      </c>
      <c r="D5" s="17" t="inlineStr">
        <is>
          <t>転換型新株予約権（キャップ100億・割引20%）</t>
        </is>
      </c>
      <c r="E5" s="17" t="inlineStr">
        <is>
          <t>開発2.0/IP独占1.5/ギャラリー・マーケ0.7/法務・監査0.5/予備0.3</t>
        </is>
      </c>
      <c r="F5" s="17" t="inlineStr">
        <is>
          <t>無条件払込（現物購入には充てない）</t>
        </is>
      </c>
    </row>
    <row r="6">
      <c r="A6" s="17" t="inlineStr">
        <is>
          <t>シリーズA</t>
        </is>
      </c>
      <c r="B6" s="17" t="inlineStr">
        <is>
          <t>〜2027/6</t>
        </is>
      </c>
      <c r="C6" s="10" t="n">
        <v>20</v>
      </c>
      <c r="D6" s="17" t="inlineStr">
        <is>
          <t>優先株1x非参加・pre200億目標</t>
        </is>
      </c>
      <c r="E6" s="17" t="inlineStr">
        <is>
          <t>セル画10億＋IP獲得10億</t>
        </is>
      </c>
      <c r="F6" s="17" t="inlineStr">
        <is>
          <t>PFβ・MAU10万・IP累計5件・監査法人選任・法律意見書</t>
        </is>
      </c>
    </row>
    <row r="7">
      <c r="A7" s="17" t="inlineStr">
        <is>
          <t>シリーズB</t>
        </is>
      </c>
      <c r="B7" s="17" t="inlineStr">
        <is>
          <t>〜2028/12</t>
        </is>
      </c>
      <c r="C7" s="10" t="n">
        <v>35</v>
      </c>
      <c r="D7" s="17" t="inlineStr">
        <is>
          <t>pre350億目標</t>
        </is>
      </c>
      <c r="E7" s="17" t="inlineStr">
        <is>
          <t>独占買付の完了・IP契約10億</t>
        </is>
      </c>
      <c r="F7" s="17" t="inlineStr">
        <is>
          <t>正式ローンチ・MAU25万・単年黒字化(2028年中)・セル画連結約50億(監査済み評価)</t>
        </is>
      </c>
    </row>
    <row r="8">
      <c r="A8" s="17" t="inlineStr">
        <is>
          <t>シリーズC</t>
        </is>
      </c>
      <c r="B8" s="17" t="inlineStr">
        <is>
          <t>2029</t>
        </is>
      </c>
      <c r="C8" s="10" t="n">
        <v>60</v>
      </c>
      <c r="D8" s="17" t="inlineStr">
        <is>
          <t>pre600億目標・テンダー併設</t>
        </is>
      </c>
      <c r="E8" s="17" t="inlineStr">
        <is>
          <t>目玉景品の投下・広告・賞金</t>
        </is>
      </c>
      <c r="F8" s="17" t="inlineStr">
        <is>
          <t>MAU50万・営業黒字の継続・主幹事選定</t>
        </is>
      </c>
    </row>
    <row r="9">
      <c r="A9" s="17" t="inlineStr">
        <is>
          <t>IPO</t>
        </is>
      </c>
      <c r="B9" s="17" t="inlineStr">
        <is>
          <t>2031目標</t>
        </is>
      </c>
      <c r="C9" s="21" t="inlineStr"/>
      <c r="D9" s="17" t="inlineStr">
        <is>
          <t>東証グロース想定</t>
        </is>
      </c>
      <c r="E9" s="17" t="inlineStr">
        <is>
          <t>──</t>
        </is>
      </c>
      <c r="F9" s="17" t="inlineStr">
        <is>
          <t>2029 N-2期入り → 2031上場申請。IPOはスタート（金融免許→予測市場に「お金」）</t>
        </is>
      </c>
    </row>
    <row r="11">
      <c r="A11" s="2" t="inlineStr">
        <is>
          <t>資本政策: 名目ラウンド合計120億円（A=20億ケース）・放出約35%＋SOプール10%（シード前設定）＝完全希薄化後も既存・代表 約55%を維持。</t>
        </is>
      </c>
    </row>
    <row r="12">
      <c r="A12" s="2" t="inlineStr">
        <is>
          <t>規律: 各ラウンドは前段ゲートを満たしたときのみ実行。未達なら延伸し希薄化を追加しない。使い道の方針: 人件費でなく IP・GPU・現物という資産に集中投下。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30" customWidth="1" min="6" max="6"/>
    <col width="44" customWidth="1" min="7" max="7"/>
  </cols>
  <sheetData>
    <row r="1" ht="24" customHeight="1">
      <c r="A1" s="1" t="inlineStr">
        <is>
          <t>感応度分析（Base / Bear / Worst）と損益分岐点</t>
        </is>
      </c>
    </row>
    <row r="2">
      <c r="A2" s="2" t="inlineStr">
        <is>
          <t>旧版の感応度構成を踏襲。下方でも資産（承継可能IP・セル画現物・GPU）が残る設計。</t>
        </is>
      </c>
    </row>
    <row r="4">
      <c r="A4" s="3" t="inlineStr">
        <is>
          <t>シナリオ</t>
        </is>
      </c>
      <c r="B4" s="3" t="inlineStr">
        <is>
          <t>MAU達成率</t>
        </is>
      </c>
      <c r="C4" s="3" t="inlineStr">
        <is>
          <t>課金率</t>
        </is>
      </c>
      <c r="D4" s="3" t="inlineStr">
        <is>
          <t>黒字化</t>
        </is>
      </c>
      <c r="E4" s="3" t="inlineStr">
        <is>
          <t>IPO</t>
        </is>
      </c>
      <c r="F4" s="3" t="inlineStr">
        <is>
          <t>下方の資産価値</t>
        </is>
      </c>
      <c r="G4" s="3" t="inlineStr">
        <is>
          <t>備考</t>
        </is>
      </c>
    </row>
    <row r="5">
      <c r="A5" s="17" t="inlineStr">
        <is>
          <t>Base</t>
        </is>
      </c>
      <c r="B5" s="22" t="n">
        <v>1</v>
      </c>
      <c r="C5" s="8" t="n">
        <v>0.1</v>
      </c>
      <c r="D5" s="17" t="inlineStr">
        <is>
          <t>2028年中</t>
        </is>
      </c>
      <c r="E5" s="17" t="inlineStr">
        <is>
          <t>2031</t>
        </is>
      </c>
      <c r="F5" s="17" t="inlineStr">
        <is>
          <t>──</t>
        </is>
      </c>
      <c r="G5" s="17" t="inlineStr">
        <is>
          <t>計画どおり（本書の基準ケース）</t>
        </is>
      </c>
    </row>
    <row r="6">
      <c r="A6" s="17" t="inlineStr">
        <is>
          <t>Bear</t>
        </is>
      </c>
      <c r="B6" s="22" t="n">
        <v>0.5</v>
      </c>
      <c r="C6" s="8" t="n">
        <v>0.08</v>
      </c>
      <c r="D6" s="17" t="inlineStr">
        <is>
          <t>2030年</t>
        </is>
      </c>
      <c r="E6" s="17" t="inlineStr">
        <is>
          <t>延伸</t>
        </is>
      </c>
      <c r="F6" s="17" t="inlineStr">
        <is>
          <t>承継可能IP群＋セル画現物</t>
        </is>
      </c>
      <c r="G6" s="17" t="inlineStr">
        <is>
          <t>ゲート未達→調達・上場を延伸（希薄化を追加しない）</t>
        </is>
      </c>
    </row>
    <row r="7">
      <c r="A7" s="17" t="inlineStr">
        <is>
          <t>Worst</t>
        </is>
      </c>
      <c r="B7" s="22" t="n">
        <v>0.3</v>
      </c>
      <c r="C7" s="8" t="n">
        <v>0.05</v>
      </c>
      <c r="D7" s="17" t="inlineStr">
        <is>
          <t>未達</t>
        </is>
      </c>
      <c r="E7" s="17" t="inlineStr">
        <is>
          <t>──</t>
        </is>
      </c>
      <c r="F7" s="17" t="inlineStr">
        <is>
          <t>IPライセンス譲渡価値＋現物＋GPU</t>
        </is>
      </c>
      <c r="G7" s="17" t="inlineStr">
        <is>
          <t>最悪でも資産が残る守りの設計</t>
        </is>
      </c>
    </row>
    <row r="9">
      <c r="A9" s="23" t="inlineStr">
        <is>
          <t>損益分岐点（2028年コスト基準）</t>
        </is>
      </c>
    </row>
    <row r="10">
      <c r="A10" s="19" t="inlineStr">
        <is>
          <t>2028 費用合計</t>
        </is>
      </c>
      <c r="B10" s="19" t="inlineStr">
        <is>
          <t>億円</t>
        </is>
      </c>
      <c r="C10" s="11">
        <f>コストとPL!D13</f>
        <v/>
      </c>
    </row>
    <row r="11">
      <c r="A11" s="19" t="inlineStr">
        <is>
          <t>BEP月商</t>
        </is>
      </c>
      <c r="B11" s="19" t="inlineStr">
        <is>
          <t>億円/月</t>
        </is>
      </c>
      <c r="C11" s="9">
        <f>C10/12</f>
        <v/>
      </c>
    </row>
    <row r="12">
      <c r="A12" s="19" t="inlineStr">
        <is>
          <t>BEP課金ユーザー</t>
        </is>
      </c>
      <c r="B12" s="19" t="inlineStr">
        <is>
          <t>万人</t>
        </is>
      </c>
      <c r="C12" s="9">
        <f>C11/(前提条件!D9*0.3)</f>
        <v/>
      </c>
      <c r="D12" s="2">
        <f>BEP月商÷(枚数×3,000円)。0.3=3,000円×10,000人÷1億。約1.1万人の課金で単月黒字圏</f>
        <v/>
      </c>
    </row>
    <row r="14">
      <c r="A14" s="2" t="inlineStr">
        <is>
          <t>免責: 本書のすべての数値・時期は目標・計画・試算であり、確約ではありません。実行は調達ゲートの達成状況に連動します。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2026-07-30T05:37:19Z</dcterms:created>
  <dcterms:modified xmlns:dcterms="http://purl.org/dc/terms/" xmlns:xsi="http://www.w3.org/2001/XMLSchema-instance" xsi:type="dcterms:W3CDTF">2026-07-30T11:54:16Z</dcterms:modified>
</cp:coreProperties>
</file>